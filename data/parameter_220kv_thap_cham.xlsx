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L\dlr\data\"/>
    </mc:Choice>
  </mc:AlternateContent>
  <xr:revisionPtr revIDLastSave="0" documentId="13_ncr:1_{565E5F8E-D19C-43DA-9244-898ECDBFCD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hong so 220k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</calcChain>
</file>

<file path=xl/sharedStrings.xml><?xml version="1.0" encoding="utf-8"?>
<sst xmlns="http://schemas.openxmlformats.org/spreadsheetml/2006/main" count="47" uniqueCount="44">
  <si>
    <t>Parameter</t>
  </si>
  <si>
    <t>Value</t>
  </si>
  <si>
    <t>Unit</t>
  </si>
  <si>
    <t>Line length</t>
  </si>
  <si>
    <t>117.794</t>
  </si>
  <si>
    <t>Nominal voltage</t>
  </si>
  <si>
    <t>220</t>
  </si>
  <si>
    <t>kV</t>
  </si>
  <si>
    <t>Conductor type</t>
  </si>
  <si>
    <t>ACSR</t>
  </si>
  <si>
    <t>Conductor diameter (D)</t>
  </si>
  <si>
    <t>27.5</t>
  </si>
  <si>
    <t>mm</t>
  </si>
  <si>
    <t>Conductor sections</t>
  </si>
  <si>
    <t>394/51.1</t>
  </si>
  <si>
    <t>mm2</t>
  </si>
  <si>
    <t>The total heat capacity of the conductor (mCp)</t>
  </si>
  <si>
    <t>1310</t>
  </si>
  <si>
    <t>J ⁄ (m × °C)</t>
  </si>
  <si>
    <t>Emissivity (ɛ)</t>
  </si>
  <si>
    <t>0.7</t>
  </si>
  <si>
    <t>Static line rating</t>
  </si>
  <si>
    <t>850</t>
  </si>
  <si>
    <t>A</t>
  </si>
  <si>
    <t>Elevation</t>
  </si>
  <si>
    <t>30–35</t>
  </si>
  <si>
    <t>m</t>
  </si>
  <si>
    <t>Latitude</t>
  </si>
  <si>
    <t>11.758° N</t>
  </si>
  <si>
    <t>Longitude</t>
  </si>
  <si>
    <t>109.020° E</t>
  </si>
  <si>
    <t>The line runs in an east to west direction so azimuth of line (Zl)</t>
  </si>
  <si>
    <t>90°</t>
  </si>
  <si>
    <t>Solar absorptivity (α)</t>
  </si>
  <si>
    <t>0.8</t>
  </si>
  <si>
    <t>Conductor's surface area (A)</t>
  </si>
  <si>
    <t>0.0864</t>
  </si>
  <si>
    <t>AC resistance at 20°C</t>
  </si>
  <si>
    <t>Ω/m</t>
  </si>
  <si>
    <t>AC resistance at 25°C</t>
  </si>
  <si>
    <t>AC resistance at 75°C</t>
  </si>
  <si>
    <t>AC resistance at 200°C</t>
  </si>
  <si>
    <t>km</t>
  </si>
  <si>
    <t>m^2/meter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</si>
</sst>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0" sqref="B20"/>
    </sheetView>
  </sheetViews>
  <sheetFormatPr defaultRowHeight="13.8"/>
  <cols>
    <col min="1" max="1" width="55" customWidth="1"/>
    <col min="2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42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9</v>
      </c>
      <c r="C4" s="3"/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2" t="s">
        <v>16</v>
      </c>
      <c r="B7" s="3" t="s">
        <v>17</v>
      </c>
      <c r="C7" s="3" t="s">
        <v>18</v>
      </c>
    </row>
    <row r="8" spans="1:3">
      <c r="A8" s="2" t="s">
        <v>19</v>
      </c>
      <c r="B8" s="3" t="s">
        <v>20</v>
      </c>
      <c r="C8" s="3"/>
    </row>
    <row r="9" spans="1:3">
      <c r="A9" s="2" t="s">
        <v>21</v>
      </c>
      <c r="B9" s="3" t="s">
        <v>22</v>
      </c>
      <c r="C9" s="3" t="s">
        <v>23</v>
      </c>
    </row>
    <row r="10" spans="1:3">
      <c r="A10" s="2" t="s">
        <v>24</v>
      </c>
      <c r="B10" s="3" t="s">
        <v>25</v>
      </c>
      <c r="C10" s="3" t="s">
        <v>26</v>
      </c>
    </row>
    <row r="11" spans="1:3">
      <c r="A11" s="2" t="s">
        <v>27</v>
      </c>
      <c r="B11" s="3" t="s">
        <v>28</v>
      </c>
      <c r="C11" s="3"/>
    </row>
    <row r="12" spans="1:3">
      <c r="A12" s="2" t="s">
        <v>29</v>
      </c>
      <c r="B12" s="3" t="s">
        <v>30</v>
      </c>
      <c r="C12" s="3"/>
    </row>
    <row r="13" spans="1:3">
      <c r="A13" s="2" t="s">
        <v>31</v>
      </c>
      <c r="B13" s="3" t="s">
        <v>32</v>
      </c>
      <c r="C13" s="3"/>
    </row>
    <row r="14" spans="1:3">
      <c r="A14" s="2" t="s">
        <v>33</v>
      </c>
      <c r="B14" s="3" t="s">
        <v>34</v>
      </c>
      <c r="C14" s="3"/>
    </row>
    <row r="15" spans="1:3">
      <c r="A15" s="2" t="s">
        <v>35</v>
      </c>
      <c r="B15" s="3" t="s">
        <v>36</v>
      </c>
      <c r="C15" s="3" t="s">
        <v>43</v>
      </c>
    </row>
    <row r="16" spans="1:3">
      <c r="A16" s="2" t="s">
        <v>37</v>
      </c>
      <c r="B16" s="3">
        <f>7.4766*10^-5</f>
        <v>7.4766000000000009E-5</v>
      </c>
      <c r="C16" s="3" t="s">
        <v>38</v>
      </c>
    </row>
    <row r="17" spans="1:3">
      <c r="A17" s="2" t="s">
        <v>39</v>
      </c>
      <c r="B17" s="3">
        <f>7.6273*10^-5</f>
        <v>7.6273000000000006E-5</v>
      </c>
      <c r="C17" s="3" t="s">
        <v>38</v>
      </c>
    </row>
    <row r="18" spans="1:3">
      <c r="A18" s="2" t="s">
        <v>40</v>
      </c>
      <c r="B18" s="3">
        <f>9.1338*10^-5</f>
        <v>9.1338000000000012E-5</v>
      </c>
      <c r="C18" s="3" t="s">
        <v>38</v>
      </c>
    </row>
    <row r="19" spans="1:3">
      <c r="A19" s="2" t="s">
        <v>41</v>
      </c>
      <c r="B19" s="3">
        <f>1.29*10^-4</f>
        <v>1.2900000000000002E-4</v>
      </c>
      <c r="C1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 so 220kV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Hong Quyen 20231835</cp:lastModifiedBy>
  <dcterms:modified xsi:type="dcterms:W3CDTF">2026-06-11T15:51:49Z</dcterms:modified>
</cp:coreProperties>
</file>